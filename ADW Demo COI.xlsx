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43db6966af3b07/Documents/"/>
    </mc:Choice>
  </mc:AlternateContent>
  <xr:revisionPtr revIDLastSave="0" documentId="8_{6495DFA1-3095-453C-BC7E-4D4766087C49}" xr6:coauthVersionLast="47" xr6:coauthVersionMax="47" xr10:uidLastSave="{00000000-0000-0000-0000-000000000000}"/>
  <bookViews>
    <workbookView xWindow="-108" yWindow="-108" windowWidth="23256" windowHeight="12576" xr2:uid="{AF1622C7-6520-4B5A-8806-C827B34563A0}"/>
  </bookViews>
  <sheets>
    <sheet name="COI Retention" sheetId="1" r:id="rId1"/>
    <sheet name="COI N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5" i="2" s="1"/>
  <c r="B35" i="2" s="1"/>
  <c r="B25" i="2"/>
  <c r="B31" i="2" s="1"/>
  <c r="B14" i="2"/>
  <c r="B15" i="2" s="1"/>
  <c r="B13" i="2"/>
  <c r="B8" i="2"/>
  <c r="B10" i="2" s="1"/>
  <c r="B17" i="2" s="1"/>
  <c r="B7" i="2"/>
  <c r="B17" i="1"/>
  <c r="B18" i="1" s="1"/>
  <c r="B19" i="1" s="1"/>
  <c r="B9" i="1"/>
  <c r="B8" i="1"/>
  <c r="B12" i="1" s="1"/>
  <c r="B13" i="1" s="1"/>
  <c r="B4" i="1"/>
  <c r="B6" i="1" s="1"/>
  <c r="B24" i="1" s="1"/>
  <c r="B9" i="2" l="1"/>
  <c r="B11" i="2" s="1"/>
  <c r="B21" i="2"/>
  <c r="B22" i="2" s="1"/>
  <c r="B19" i="2"/>
  <c r="B23" i="2" s="1"/>
  <c r="B26" i="2" s="1"/>
  <c r="B28" i="2" s="1"/>
  <c r="B18" i="2"/>
  <c r="B30" i="2"/>
  <c r="B32" i="2" s="1"/>
  <c r="B14" i="1"/>
  <c r="B20" i="1" s="1"/>
  <c r="B22" i="1" s="1"/>
  <c r="B25" i="1" s="1"/>
  <c r="B10" i="1"/>
  <c r="B20" i="2" l="1"/>
  <c r="B33" i="2"/>
  <c r="B36" i="2" s="1"/>
</calcChain>
</file>

<file path=xl/sharedStrings.xml><?xml version="1.0" encoding="utf-8"?>
<sst xmlns="http://schemas.openxmlformats.org/spreadsheetml/2006/main" count="63" uniqueCount="53">
  <si>
    <t>Parameter</t>
  </si>
  <si>
    <t>Input</t>
  </si>
  <si>
    <t>Total Agents</t>
  </si>
  <si>
    <t>Hours per agent</t>
  </si>
  <si>
    <t>Total Agent hours</t>
  </si>
  <si>
    <t>% of hours impaired</t>
  </si>
  <si>
    <t>Hours impaired</t>
  </si>
  <si>
    <t>Calls per agent</t>
  </si>
  <si>
    <t>Total Calls</t>
  </si>
  <si>
    <t>% of calls impaired*</t>
  </si>
  <si>
    <t>Calls impaired</t>
  </si>
  <si>
    <t>Customers</t>
  </si>
  <si>
    <t>Calls per customer</t>
  </si>
  <si>
    <t>Calls per at risk customer**</t>
  </si>
  <si>
    <t>Probability of 2+ impaired calls***</t>
  </si>
  <si>
    <t>Switching rate 2+ incidents</t>
  </si>
  <si>
    <t>Baseline Churn Rate</t>
  </si>
  <si>
    <t>Baseline Churned Customers</t>
  </si>
  <si>
    <t>Active churn customers (60%)</t>
  </si>
  <si>
    <t>CX-driven churns (50% of Active)</t>
  </si>
  <si>
    <t>Base customers at risk of churn</t>
  </si>
  <si>
    <t>ARPU</t>
  </si>
  <si>
    <t>Base revenue at risk of churn</t>
  </si>
  <si>
    <t>Cost per hour per agent</t>
  </si>
  <si>
    <t>Cost of labor inefficiency</t>
  </si>
  <si>
    <t>Total Cost of Inaction</t>
  </si>
  <si>
    <t>Total Agent Hours</t>
  </si>
  <si>
    <t>Impaired Hours</t>
  </si>
  <si>
    <t>Impaired calls</t>
  </si>
  <si>
    <t>Retry Rate*</t>
  </si>
  <si>
    <t>Retries</t>
  </si>
  <si>
    <t>FCR</t>
  </si>
  <si>
    <t>CSAT</t>
  </si>
  <si>
    <t>CES</t>
  </si>
  <si>
    <t>CES converted</t>
  </si>
  <si>
    <t xml:space="preserve">Customers </t>
  </si>
  <si>
    <t>FCR impact factor</t>
  </si>
  <si>
    <t>Revised FCR</t>
  </si>
  <si>
    <t>CSAT impact factor</t>
  </si>
  <si>
    <t>Revised CSAT</t>
  </si>
  <si>
    <t>CES impact factor</t>
  </si>
  <si>
    <t>Revised CES</t>
  </si>
  <si>
    <t>Churn Risk Factor</t>
  </si>
  <si>
    <t>Baseline churn rate</t>
  </si>
  <si>
    <t>Baseline churned customers</t>
  </si>
  <si>
    <t xml:space="preserve">Target Net Revenue Retention </t>
  </si>
  <si>
    <t>Active Churned revenue baseline</t>
  </si>
  <si>
    <t>Required upsell revenue (for NRR)</t>
  </si>
  <si>
    <t>Upsell multiplier: Upsell-to-Churn Ratio</t>
  </si>
  <si>
    <t>Upsell revenue at risk of shortfall</t>
  </si>
  <si>
    <t>Agent cost per hour</t>
  </si>
  <si>
    <t>Labor inefficiency cost</t>
  </si>
  <si>
    <t>Cost of Inaction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</si>
</sst>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1" fillId="0" borderId="0" xfId="0" applyFont="1"/>
    <xf numFmtId="43" fontId="0" fillId="0" borderId="0" xfId="0" applyNumberFormat="1"/>
    <xf numFmtId="4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D30-0792-4ECB-A347-C3CA62F3340A}">
  <dimension ref="A1:B25"/>
  <sheetViews>
    <sheetView tabSelected="1" workbookViewId="0">
      <selection activeCell="I20" sqref="I20"/>
    </sheetView>
  </sheetViews>
  <sheetFormatPr defaultRowHeight="13.8" x14ac:dyDescent="0.25"/>
  <cols>
    <col min="1" max="1" width="29.59765625" customWidth="1"/>
    <col min="2" max="2" width="12.09765625" bestFit="1" customWidth="1"/>
  </cols>
  <sheetData>
    <row r="1" spans="1:2" x14ac:dyDescent="0.25">
      <c r="A1" s="10" t="s">
        <v>0</v>
      </c>
      <c r="B1" s="10" t="s">
        <v>1</v>
      </c>
    </row>
    <row r="2" spans="1:2" x14ac:dyDescent="0.25">
      <c r="A2" t="s">
        <v>2</v>
      </c>
      <c r="B2" s="6">
        <v>1200</v>
      </c>
    </row>
    <row r="3" spans="1:2" x14ac:dyDescent="0.25">
      <c r="A3" t="s">
        <v>3</v>
      </c>
      <c r="B3" s="6">
        <v>2080</v>
      </c>
    </row>
    <row r="4" spans="1:2" x14ac:dyDescent="0.25">
      <c r="A4" t="s">
        <v>4</v>
      </c>
      <c r="B4" s="1">
        <f>IF(OR(B2="",B3=""),"",B2*B3)</f>
        <v>2496000</v>
      </c>
    </row>
    <row r="5" spans="1:2" x14ac:dyDescent="0.25">
      <c r="A5" t="s">
        <v>5</v>
      </c>
      <c r="B5" s="7">
        <v>3.5000000000000003E-2</v>
      </c>
    </row>
    <row r="6" spans="1:2" x14ac:dyDescent="0.25">
      <c r="A6" t="s">
        <v>6</v>
      </c>
      <c r="B6" s="1">
        <f>IF(OR(B4="",B5=""),"",B4*B5)</f>
        <v>87360.000000000015</v>
      </c>
    </row>
    <row r="7" spans="1:2" x14ac:dyDescent="0.25">
      <c r="A7" t="s">
        <v>7</v>
      </c>
      <c r="B7" s="6">
        <v>25000</v>
      </c>
    </row>
    <row r="8" spans="1:2" x14ac:dyDescent="0.25">
      <c r="A8" t="s">
        <v>8</v>
      </c>
      <c r="B8" s="1">
        <f>IF(OR(B2="",B7=""),"",B2*B7)</f>
        <v>30000000</v>
      </c>
    </row>
    <row r="9" spans="1:2" x14ac:dyDescent="0.25">
      <c r="A9" t="s">
        <v>9</v>
      </c>
      <c r="B9" s="2">
        <f>IF(B5="","",B5*1.156)</f>
        <v>4.0460000000000003E-2</v>
      </c>
    </row>
    <row r="10" spans="1:2" x14ac:dyDescent="0.25">
      <c r="A10" t="s">
        <v>10</v>
      </c>
      <c r="B10" s="1">
        <f>IF(OR(B8="",B9=""),"",B8*B9)</f>
        <v>1213800</v>
      </c>
    </row>
    <row r="11" spans="1:2" x14ac:dyDescent="0.25">
      <c r="A11" t="s">
        <v>11</v>
      </c>
      <c r="B11" s="6">
        <v>2000000</v>
      </c>
    </row>
    <row r="12" spans="1:2" x14ac:dyDescent="0.25">
      <c r="A12" t="s">
        <v>12</v>
      </c>
      <c r="B12" s="1">
        <f>IF(OR(B8="",B11="",B11=0),"",B8/B11)</f>
        <v>15</v>
      </c>
    </row>
    <row r="13" spans="1:2" x14ac:dyDescent="0.25">
      <c r="A13" t="s">
        <v>13</v>
      </c>
      <c r="B13" s="1">
        <f>IF(B12="","",B12*1.67)</f>
        <v>25.049999999999997</v>
      </c>
    </row>
    <row r="14" spans="1:2" x14ac:dyDescent="0.25">
      <c r="A14" t="s">
        <v>14</v>
      </c>
      <c r="B14" s="3">
        <f>IF(OR(B13="",B9=""),"",1-_xlfn.BINOM.DIST(1,B13,B9,TRUE))</f>
        <v>0.26850822480913239</v>
      </c>
    </row>
    <row r="15" spans="1:2" x14ac:dyDescent="0.25">
      <c r="A15" t="s">
        <v>15</v>
      </c>
      <c r="B15" s="4">
        <v>0.73</v>
      </c>
    </row>
    <row r="16" spans="1:2" x14ac:dyDescent="0.25">
      <c r="A16" t="s">
        <v>16</v>
      </c>
      <c r="B16" s="8">
        <v>0.15</v>
      </c>
    </row>
    <row r="17" spans="1:2" x14ac:dyDescent="0.25">
      <c r="A17" t="s">
        <v>17</v>
      </c>
      <c r="B17" s="1">
        <f>IF(OR(B11="",B16=""),"",B11*B16)</f>
        <v>300000</v>
      </c>
    </row>
    <row r="18" spans="1:2" x14ac:dyDescent="0.25">
      <c r="A18" t="s">
        <v>18</v>
      </c>
      <c r="B18" s="1">
        <f>IF(B17="","",B17*0.6)</f>
        <v>180000</v>
      </c>
    </row>
    <row r="19" spans="1:2" x14ac:dyDescent="0.25">
      <c r="A19" t="s">
        <v>19</v>
      </c>
      <c r="B19" s="1">
        <f>IF(B18="","",B18*0.5)</f>
        <v>90000</v>
      </c>
    </row>
    <row r="20" spans="1:2" x14ac:dyDescent="0.25">
      <c r="A20" t="s">
        <v>20</v>
      </c>
      <c r="B20" s="1">
        <f>IF(OR(B19="",B14="",B15=""),"",B19*B14*B15)</f>
        <v>17640.990369959996</v>
      </c>
    </row>
    <row r="21" spans="1:2" x14ac:dyDescent="0.25">
      <c r="A21" t="s">
        <v>21</v>
      </c>
      <c r="B21" s="9">
        <v>1000</v>
      </c>
    </row>
    <row r="22" spans="1:2" x14ac:dyDescent="0.25">
      <c r="A22" t="s">
        <v>22</v>
      </c>
      <c r="B22" s="5">
        <f>IF(OR(B20="",B21=""),"",B20*B21)</f>
        <v>17640990.369959995</v>
      </c>
    </row>
    <row r="23" spans="1:2" x14ac:dyDescent="0.25">
      <c r="A23" t="s">
        <v>23</v>
      </c>
      <c r="B23" s="9">
        <v>20</v>
      </c>
    </row>
    <row r="24" spans="1:2" x14ac:dyDescent="0.25">
      <c r="A24" t="s">
        <v>24</v>
      </c>
      <c r="B24" s="5">
        <f>IF(OR(B6="",B23=""),"",B6*B23)</f>
        <v>1747200.0000000002</v>
      </c>
    </row>
    <row r="25" spans="1:2" x14ac:dyDescent="0.25">
      <c r="A25" t="s">
        <v>25</v>
      </c>
      <c r="B25" s="5">
        <f>IF(OR(B22="",B24=""),"",B22+B24)</f>
        <v>19388190.369959995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F789-5B8B-406E-9263-81C603F75302}">
  <dimension ref="A1:B36"/>
  <sheetViews>
    <sheetView workbookViewId="0">
      <selection activeCell="F11" sqref="F11"/>
    </sheetView>
  </sheetViews>
  <sheetFormatPr defaultRowHeight="13.8" x14ac:dyDescent="0.25"/>
  <cols>
    <col min="1" max="1" width="32.296875" bestFit="1" customWidth="1"/>
    <col min="2" max="2" width="13.19921875" bestFit="1" customWidth="1"/>
  </cols>
  <sheetData>
    <row r="1" spans="1:2" x14ac:dyDescent="0.25">
      <c r="A1" s="10" t="s">
        <v>0</v>
      </c>
      <c r="B1" s="10" t="s">
        <v>1</v>
      </c>
    </row>
    <row r="2" spans="1:2" x14ac:dyDescent="0.25">
      <c r="A2" t="s">
        <v>2</v>
      </c>
      <c r="B2" s="6">
        <v>1200</v>
      </c>
    </row>
    <row r="3" spans="1:2" x14ac:dyDescent="0.25">
      <c r="A3" t="s">
        <v>26</v>
      </c>
      <c r="B3" s="1">
        <f>IF(B2="","",B2*2080)</f>
        <v>2496000</v>
      </c>
    </row>
    <row r="4" spans="1:2" x14ac:dyDescent="0.25">
      <c r="A4" t="s">
        <v>5</v>
      </c>
      <c r="B4" s="7">
        <v>3.5000000000000003E-2</v>
      </c>
    </row>
    <row r="5" spans="1:2" x14ac:dyDescent="0.25">
      <c r="A5" t="s">
        <v>27</v>
      </c>
      <c r="B5" s="1">
        <f>IF(OR(B3="",B4=""),"",B3*B4)</f>
        <v>87360.000000000015</v>
      </c>
    </row>
    <row r="6" spans="1:2" x14ac:dyDescent="0.25">
      <c r="A6" t="s">
        <v>7</v>
      </c>
      <c r="B6" s="6">
        <v>25000</v>
      </c>
    </row>
    <row r="7" spans="1:2" x14ac:dyDescent="0.25">
      <c r="A7" t="s">
        <v>8</v>
      </c>
      <c r="B7" s="1">
        <f>IF(OR(B2="",B6=""),"",B2*B6)</f>
        <v>30000000</v>
      </c>
    </row>
    <row r="8" spans="1:2" x14ac:dyDescent="0.25">
      <c r="A8" t="s">
        <v>9</v>
      </c>
      <c r="B8" s="2">
        <f>IF(B4="","",B4*1.156)</f>
        <v>4.0460000000000003E-2</v>
      </c>
    </row>
    <row r="9" spans="1:2" x14ac:dyDescent="0.25">
      <c r="A9" t="s">
        <v>28</v>
      </c>
      <c r="B9" s="1">
        <f>IF(OR(B7="",B8=""),"",B7*B8)</f>
        <v>1213800</v>
      </c>
    </row>
    <row r="10" spans="1:2" x14ac:dyDescent="0.25">
      <c r="A10" t="s">
        <v>29</v>
      </c>
      <c r="B10" s="2">
        <f>IF(B8="","",B8*1.5625)</f>
        <v>6.3218750000000004E-2</v>
      </c>
    </row>
    <row r="11" spans="1:2" x14ac:dyDescent="0.25">
      <c r="A11" t="s">
        <v>30</v>
      </c>
      <c r="B11" s="1">
        <f>IF(OR(B9="",B10=""),"",B9*B10)</f>
        <v>76734.918750000012</v>
      </c>
    </row>
    <row r="12" spans="1:2" x14ac:dyDescent="0.25">
      <c r="A12" t="s">
        <v>31</v>
      </c>
      <c r="B12" s="8">
        <v>0.75</v>
      </c>
    </row>
    <row r="13" spans="1:2" x14ac:dyDescent="0.25">
      <c r="A13" t="s">
        <v>32</v>
      </c>
      <c r="B13" s="8">
        <f>IF(B12="","",0.8+(B12-0.75)*0.9)</f>
        <v>0.8</v>
      </c>
    </row>
    <row r="14" spans="1:2" x14ac:dyDescent="0.25">
      <c r="A14" t="s">
        <v>33</v>
      </c>
      <c r="B14" s="12">
        <f>IF(B12="","",5-((0.75-B12)*6*1.1))</f>
        <v>5</v>
      </c>
    </row>
    <row r="15" spans="1:2" x14ac:dyDescent="0.25">
      <c r="A15" t="s">
        <v>34</v>
      </c>
      <c r="B15" s="3">
        <f>IF(B14="","",((B14-1)/6))</f>
        <v>0.66666666666666663</v>
      </c>
    </row>
    <row r="16" spans="1:2" x14ac:dyDescent="0.25">
      <c r="A16" t="s">
        <v>35</v>
      </c>
      <c r="B16" s="6">
        <v>2000000</v>
      </c>
    </row>
    <row r="17" spans="1:2" x14ac:dyDescent="0.25">
      <c r="A17" t="s">
        <v>36</v>
      </c>
      <c r="B17" s="2">
        <f>IF(B10="","",-B10)</f>
        <v>-6.3218750000000004E-2</v>
      </c>
    </row>
    <row r="18" spans="1:2" x14ac:dyDescent="0.25">
      <c r="A18" t="s">
        <v>37</v>
      </c>
      <c r="B18" s="3">
        <f>IF(OR(B12="",B17=""),"",B12*(1+B17))</f>
        <v>0.70258593749999998</v>
      </c>
    </row>
    <row r="19" spans="1:2" x14ac:dyDescent="0.25">
      <c r="A19" t="s">
        <v>38</v>
      </c>
      <c r="B19" s="2">
        <f>IF(B17="","",B17*0.9)</f>
        <v>-5.6896875000000006E-2</v>
      </c>
    </row>
    <row r="20" spans="1:2" x14ac:dyDescent="0.25">
      <c r="A20" t="s">
        <v>39</v>
      </c>
      <c r="B20" s="3">
        <f>IF(OR(B12="",B13="",B14="",B19=""),"",B13+B19)</f>
        <v>0.74310312500000009</v>
      </c>
    </row>
    <row r="21" spans="1:2" x14ac:dyDescent="0.25">
      <c r="A21" t="s">
        <v>40</v>
      </c>
      <c r="B21" s="2">
        <f>IF(B17="","",B17*1.2)</f>
        <v>-7.5862499999999999E-2</v>
      </c>
    </row>
    <row r="22" spans="1:2" x14ac:dyDescent="0.25">
      <c r="A22" t="s">
        <v>41</v>
      </c>
      <c r="B22" s="3">
        <f>IF(OR(B15="",B21=""),"",B15*(1+B21))</f>
        <v>0.6160916666666667</v>
      </c>
    </row>
    <row r="23" spans="1:2" x14ac:dyDescent="0.25">
      <c r="A23" t="s">
        <v>42</v>
      </c>
      <c r="B23" s="3">
        <f>IF(B19="","",(ABS(B19)/0.05*0.04)*1.8)</f>
        <v>8.1931500000000004E-2</v>
      </c>
    </row>
    <row r="24" spans="1:2" x14ac:dyDescent="0.25">
      <c r="A24" t="s">
        <v>43</v>
      </c>
      <c r="B24" s="8">
        <v>0.15</v>
      </c>
    </row>
    <row r="25" spans="1:2" x14ac:dyDescent="0.25">
      <c r="A25" t="s">
        <v>44</v>
      </c>
      <c r="B25" s="1">
        <f>IF(OR(B24="",B16=""),"",B24*B16)</f>
        <v>300000</v>
      </c>
    </row>
    <row r="26" spans="1:2" x14ac:dyDescent="0.25">
      <c r="A26" t="s">
        <v>20</v>
      </c>
      <c r="B26" s="1">
        <f>IF(OR(B25="",B23=""),"",B25*B23)</f>
        <v>24579.45</v>
      </c>
    </row>
    <row r="27" spans="1:2" x14ac:dyDescent="0.25">
      <c r="A27" t="s">
        <v>21</v>
      </c>
      <c r="B27" s="9">
        <v>1000</v>
      </c>
    </row>
    <row r="28" spans="1:2" x14ac:dyDescent="0.25">
      <c r="A28" t="s">
        <v>22</v>
      </c>
      <c r="B28" s="5">
        <f>IF(OR(B26="",B27=""),"",B26*B27)</f>
        <v>24579450</v>
      </c>
    </row>
    <row r="29" spans="1:2" x14ac:dyDescent="0.25">
      <c r="A29" t="s">
        <v>45</v>
      </c>
      <c r="B29" s="8">
        <v>1.05</v>
      </c>
    </row>
    <row r="30" spans="1:2" x14ac:dyDescent="0.25">
      <c r="A30" t="s">
        <v>46</v>
      </c>
      <c r="B30" s="5">
        <f>IF(OR(B25="",B27=""),"",B25*0.6*B27)</f>
        <v>180000000</v>
      </c>
    </row>
    <row r="31" spans="1:2" x14ac:dyDescent="0.25">
      <c r="A31" t="s">
        <v>47</v>
      </c>
      <c r="B31" s="5">
        <f>IF(OR(B16="",B25="",B27="",B29=""),"",((B16*B27*B29)-((B16-B25)*B27)))</f>
        <v>400000000</v>
      </c>
    </row>
    <row r="32" spans="1:2" x14ac:dyDescent="0.25">
      <c r="A32" t="s">
        <v>48</v>
      </c>
      <c r="B32" s="11">
        <f>IF(OR(B31="",B30=""),"",B31/B30)</f>
        <v>2.2222222222222223</v>
      </c>
    </row>
    <row r="33" spans="1:2" x14ac:dyDescent="0.25">
      <c r="A33" t="s">
        <v>49</v>
      </c>
      <c r="B33" s="5">
        <f>IF(OR(B28="",B32=""),"",B28*B32)</f>
        <v>54621000</v>
      </c>
    </row>
    <row r="34" spans="1:2" x14ac:dyDescent="0.25">
      <c r="A34" t="s">
        <v>50</v>
      </c>
      <c r="B34" s="9">
        <v>20</v>
      </c>
    </row>
    <row r="35" spans="1:2" x14ac:dyDescent="0.25">
      <c r="A35" t="s">
        <v>51</v>
      </c>
      <c r="B35" s="5">
        <f>IF(OR(B5="",B34=""),"",B5*B34)</f>
        <v>1747200.0000000002</v>
      </c>
    </row>
    <row r="36" spans="1:2" x14ac:dyDescent="0.25">
      <c r="A36" t="s">
        <v>52</v>
      </c>
      <c r="B36" s="5">
        <f>IF(OR(B28="",B33="",B35=""),"",B28+B33+B35)</f>
        <v>80947650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 Retention</vt:lpstr>
      <vt:lpstr>COI NRR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Welsh</dc:creator>
  <cp:lastModifiedBy>Andy Welsh</cp:lastModifiedBy>
  <dcterms:created xsi:type="dcterms:W3CDTF">2025-12-28T15:12:46Z</dcterms:created>
  <dcterms:modified xsi:type="dcterms:W3CDTF">2025-12-30T14:04:24Z</dcterms:modified>
</cp:coreProperties>
</file>